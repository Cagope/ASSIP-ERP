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p-erp\docs\"/>
    </mc:Choice>
  </mc:AlternateContent>
  <xr:revisionPtr revIDLastSave="0" documentId="8_{E0535A27-0731-4FE3-8FD3-C9C13D8B5FEA}" xr6:coauthVersionLast="47" xr6:coauthVersionMax="47" xr10:uidLastSave="{00000000-0000-0000-0000-000000000000}"/>
  <bookViews>
    <workbookView xWindow="-108" yWindow="-108" windowWidth="23256" windowHeight="13896" xr2:uid="{49F56CD1-E1E6-44C5-B1AD-D8C2E65E66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1" l="1"/>
  <c r="J19" i="1"/>
  <c r="I20" i="1"/>
  <c r="I19" i="1"/>
  <c r="E13" i="1"/>
  <c r="F13" i="1"/>
  <c r="E15" i="1" l="1"/>
  <c r="E16" i="1" l="1"/>
  <c r="E17" i="1"/>
</calcChain>
</file>

<file path=xl/sharedStrings.xml><?xml version="1.0" encoding="utf-8"?>
<sst xmlns="http://schemas.openxmlformats.org/spreadsheetml/2006/main" count="25" uniqueCount="25">
  <si>
    <t>tipo_documento</t>
  </si>
  <si>
    <t>documento_empresa</t>
  </si>
  <si>
    <t>digito_verificacion</t>
  </si>
  <si>
    <t>razon_social</t>
  </si>
  <si>
    <t>sigla_empresa</t>
  </si>
  <si>
    <t>fecha_constitucion</t>
  </si>
  <si>
    <t>id_pais_documento</t>
  </si>
  <si>
    <t>id_departamento</t>
  </si>
  <si>
    <t>id_ciudad</t>
  </si>
  <si>
    <t>correo_corporativo</t>
  </si>
  <si>
    <t>telefono</t>
  </si>
  <si>
    <t>celular</t>
  </si>
  <si>
    <t>sitio_web</t>
  </si>
  <si>
    <t>logo_url</t>
  </si>
  <si>
    <t>fk_seguridad_creacion</t>
  </si>
  <si>
    <t>fecha_creacion</t>
  </si>
  <si>
    <t>fk_seguridad_edicion</t>
  </si>
  <si>
    <t>fecha_edicion</t>
  </si>
  <si>
    <t>id_datos_personal_empresa</t>
  </si>
  <si>
    <t>N</t>
  </si>
  <si>
    <t>COOPERATIVA DE AHORRO Y CREDITO DEL VALLE DE SAN JOSE</t>
  </si>
  <si>
    <t>COOPVALLE</t>
  </si>
  <si>
    <t>coopvalle@coopvalle.co</t>
  </si>
  <si>
    <t>https://www.coopvalle.co</t>
  </si>
  <si>
    <t>/assets/logo_empresa.png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</si>
</sst>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011E-0F98-4DA1-A899-EDEF2B9E93D4}">
  <dimension ref="A1:S23"/>
  <sheetViews>
    <sheetView tabSelected="1" workbookViewId="0">
      <selection activeCell="I23" sqref="I23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890201545</v>
      </c>
      <c r="C2">
        <v>4</v>
      </c>
      <c r="D2" t="s">
        <v>20</v>
      </c>
      <c r="E2" t="s">
        <v>21</v>
      </c>
      <c r="F2" s="1">
        <v>43831</v>
      </c>
      <c r="G2">
        <v>40</v>
      </c>
      <c r="H2">
        <v>21</v>
      </c>
      <c r="I2">
        <v>867</v>
      </c>
      <c r="J2" t="s">
        <v>22</v>
      </c>
      <c r="K2">
        <v>1234567</v>
      </c>
      <c r="L2">
        <v>3107114523</v>
      </c>
      <c r="M2" t="s">
        <v>23</v>
      </c>
      <c r="N2" t="s">
        <v>24</v>
      </c>
      <c r="O2">
        <v>1</v>
      </c>
      <c r="P2" s="2">
        <v>46037.294606979165</v>
      </c>
      <c r="Q2">
        <v>1</v>
      </c>
      <c r="R2" s="2">
        <v>46037.294606979165</v>
      </c>
      <c r="S2">
        <v>14908</v>
      </c>
    </row>
    <row r="10" spans="1:19" x14ac:dyDescent="0.3">
      <c r="E10">
        <v>1</v>
      </c>
    </row>
    <row r="11" spans="1:19" x14ac:dyDescent="0.3">
      <c r="E11">
        <v>15000000</v>
      </c>
    </row>
    <row r="12" spans="1:19" x14ac:dyDescent="0.3">
      <c r="E12">
        <v>7</v>
      </c>
    </row>
    <row r="13" spans="1:19" x14ac:dyDescent="0.3">
      <c r="E13">
        <f>+(E10*E11*E12)/36000</f>
        <v>2916.6666666666665</v>
      </c>
      <c r="F13">
        <f>+E13*25</f>
        <v>72916.666666666657</v>
      </c>
    </row>
    <row r="14" spans="1:19" x14ac:dyDescent="0.3">
      <c r="E14">
        <v>30</v>
      </c>
    </row>
    <row r="15" spans="1:19" x14ac:dyDescent="0.3">
      <c r="E15">
        <f>+E13*E14</f>
        <v>87500</v>
      </c>
      <c r="F15">
        <v>4</v>
      </c>
    </row>
    <row r="16" spans="1:19" x14ac:dyDescent="0.3">
      <c r="E16">
        <f>+E15*F15%</f>
        <v>3500</v>
      </c>
    </row>
    <row r="17" spans="5:10" x14ac:dyDescent="0.3">
      <c r="E17">
        <f>+E15-E16</f>
        <v>84000</v>
      </c>
      <c r="I17">
        <v>35000</v>
      </c>
    </row>
    <row r="18" spans="5:10" x14ac:dyDescent="0.3">
      <c r="I18">
        <v>19</v>
      </c>
    </row>
    <row r="19" spans="5:10" x14ac:dyDescent="0.3">
      <c r="I19">
        <f>+ROUND((I17/1.19),0)</f>
        <v>29412</v>
      </c>
      <c r="J19">
        <f>+I19*19%</f>
        <v>5588.28</v>
      </c>
    </row>
    <row r="20" spans="5:10" x14ac:dyDescent="0.3">
      <c r="I20">
        <f>+I17-I19</f>
        <v>5588</v>
      </c>
    </row>
    <row r="23" spans="5:10" x14ac:dyDescent="0.3">
      <c r="I23">
        <f>19/100</f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</dc:creator>
  <cp:lastModifiedBy>Carlos Gonzalez</cp:lastModifiedBy>
  <dcterms:created xsi:type="dcterms:W3CDTF">2026-06-20T19:06:00Z</dcterms:created>
  <dcterms:modified xsi:type="dcterms:W3CDTF">2026-07-11T14:29:13Z</dcterms:modified>
</cp:coreProperties>
</file>